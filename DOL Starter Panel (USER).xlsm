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J\"/>
    </mc:Choice>
  </mc:AlternateContent>
  <xr:revisionPtr revIDLastSave="0" documentId="13_ncr:1_{B1861B6F-7E6F-4C55-AAE0-A6E0CAA92105}" xr6:coauthVersionLast="47" xr6:coauthVersionMax="47" xr10:uidLastSave="{00000000-0000-0000-0000-000000000000}"/>
  <workbookProtection workbookAlgorithmName="SHA-512" workbookHashValue="ehQCFNChd2UUYgE14BeAoB8ObHqWiGkhBBbiNsYxmGDo3ss/tJqxxgHLEdPGLs5eHUBa2DeefGklFQJWgJgFGA==" workbookSaltValue="f+xfdCPlMgUDfuK75rlVGg==" workbookSpinCount="100000" lockStructure="1"/>
  <bookViews>
    <workbookView xWindow="-108" yWindow="-108" windowWidth="23256" windowHeight="12456" xr2:uid="{C47A2866-3755-4B09-8C47-ABAD37F3DC60}"/>
  </bookViews>
  <sheets>
    <sheet name="Configuration" sheetId="1" r:id="rId1"/>
    <sheet name="MaterialList1" sheetId="3" state="hidden" r:id="rId2"/>
    <sheet name="MaterialList2" sheetId="2" state="hidden" r:id="rId3"/>
    <sheet name="BoxCalculation" sheetId="5" state="hidden" r:id="rId4"/>
    <sheet name="Print" sheetId="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4" l="1"/>
  <c r="E16" i="2" a="1"/>
  <c r="E16" i="2" s="1"/>
  <c r="G10" i="4" a="1"/>
  <c r="G10" i="4" s="1"/>
  <c r="F6" i="4" a="1"/>
  <c r="F6" i="4" s="1"/>
  <c r="F7" i="4" s="1"/>
  <c r="E4" i="4" a="1"/>
  <c r="E4" i="4" s="1"/>
  <c r="B5" i="5" s="1"/>
  <c r="D4" i="4" a="1"/>
  <c r="D4" i="4" s="1"/>
  <c r="B4" i="5" s="1"/>
  <c r="C4" i="4" a="1"/>
  <c r="C4" i="4" s="1"/>
  <c r="B3" i="5" s="1"/>
  <c r="C29" i="5"/>
  <c r="C26" i="5"/>
  <c r="C23" i="5"/>
  <c r="C20" i="5"/>
  <c r="C17" i="5"/>
  <c r="C14" i="5"/>
  <c r="I10" i="4" l="1"/>
  <c r="C28" i="5"/>
  <c r="C13" i="5"/>
  <c r="C30" i="5"/>
  <c r="C15" i="5"/>
  <c r="C24" i="5"/>
  <c r="C31" i="5"/>
  <c r="C27" i="5"/>
  <c r="C16" i="5"/>
  <c r="C25" i="5"/>
  <c r="C34" i="5"/>
  <c r="D34" i="5" s="1"/>
  <c r="C22" i="5"/>
  <c r="C12" i="5"/>
  <c r="C21" i="5"/>
  <c r="D21" i="5" l="1"/>
  <c r="D12" i="5"/>
  <c r="D30" i="5"/>
  <c r="D27" i="5"/>
  <c r="D15" i="5"/>
  <c r="D24" i="5"/>
  <c r="C18" i="5"/>
  <c r="D18" i="5" s="1"/>
  <c r="C33" i="5" l="1"/>
  <c r="C35" i="5" s="1"/>
  <c r="C36" i="5" s="1"/>
  <c r="C6" i="4" a="1"/>
  <c r="C6" i="4" s="1"/>
  <c r="F14" i="4" a="1"/>
  <c r="F14" i="4" s="1"/>
  <c r="F22" i="4" a="1"/>
  <c r="F22" i="4" s="1"/>
  <c r="F21" i="4" a="1"/>
  <c r="F21" i="4" s="1"/>
  <c r="C37" i="5" l="1"/>
  <c r="M4" i="3"/>
  <c r="M5" i="3" s="1"/>
  <c r="M6" i="3" s="1"/>
  <c r="G16" i="4"/>
  <c r="G13" i="4"/>
  <c r="I18" i="4"/>
  <c r="C9" i="3"/>
  <c r="G9" i="3"/>
  <c r="G7" i="3"/>
  <c r="G4" i="3"/>
  <c r="G5" i="3" s="1"/>
  <c r="C10" i="5" l="1"/>
  <c r="C11" i="5" s="1"/>
  <c r="G4" i="4"/>
  <c r="I4" i="4" s="1"/>
  <c r="C11" i="4" a="1"/>
  <c r="C11" i="4" s="1"/>
  <c r="C7" i="4" a="1"/>
  <c r="C7" i="4" s="1"/>
  <c r="C5" i="4" a="1"/>
  <c r="C5" i="4" s="1"/>
  <c r="G11" i="4" a="1"/>
  <c r="G11" i="4" s="1"/>
  <c r="I11" i="4" s="1"/>
  <c r="G9" i="4" a="1"/>
  <c r="G9" i="4" s="1"/>
  <c r="I9" i="4" s="1"/>
  <c r="G8" i="4" a="1"/>
  <c r="G8" i="4" s="1"/>
  <c r="I8" i="4" s="1"/>
  <c r="G7" i="4" a="1"/>
  <c r="G7" i="4" s="1"/>
  <c r="I7" i="4" s="1"/>
  <c r="G6" i="4" a="1"/>
  <c r="G6" i="4" s="1"/>
  <c r="I6" i="4" s="1"/>
  <c r="G5" i="4" a="1"/>
  <c r="G5" i="4" s="1"/>
  <c r="I5" i="4" s="1"/>
  <c r="I1" i="4" a="1"/>
  <c r="I1" i="4" s="1"/>
  <c r="I20" i="4"/>
  <c r="I19" i="4"/>
  <c r="I17" i="4"/>
  <c r="I16" i="4"/>
  <c r="I15" i="4"/>
  <c r="I13" i="4"/>
  <c r="I12" i="4"/>
  <c r="P11" i="3" a="1"/>
  <c r="P11" i="3" s="1"/>
  <c r="P10" i="3" a="1"/>
  <c r="P10" i="3" s="1"/>
  <c r="P9" i="3" a="1"/>
  <c r="P9" i="3" s="1"/>
  <c r="P8" i="3" a="1"/>
  <c r="P8" i="3" s="1"/>
  <c r="P7" i="3" a="1"/>
  <c r="P7" i="3" s="1"/>
  <c r="P6" i="3" a="1"/>
  <c r="P6" i="3" s="1"/>
  <c r="P5" i="3" a="1"/>
  <c r="P5" i="3" s="1"/>
  <c r="P4" i="3" a="1"/>
  <c r="P4" i="3" s="1"/>
  <c r="P3" i="3" a="1"/>
  <c r="P3" i="3" s="1"/>
  <c r="G14" i="4" s="1"/>
  <c r="I14" i="4" s="1"/>
  <c r="O11" i="3" a="1"/>
  <c r="O11" i="3" s="1"/>
  <c r="O10" i="3" a="1"/>
  <c r="O10" i="3" s="1"/>
  <c r="O9" i="3" a="1"/>
  <c r="O9" i="3" s="1"/>
  <c r="O8" i="3" a="1"/>
  <c r="O8" i="3" s="1"/>
  <c r="O7" i="3" a="1"/>
  <c r="O7" i="3" s="1"/>
  <c r="O6" i="3" a="1"/>
  <c r="O6" i="3" s="1"/>
  <c r="O5" i="3" a="1"/>
  <c r="O5" i="3" s="1"/>
  <c r="O4" i="3" a="1"/>
  <c r="O4" i="3" s="1"/>
  <c r="O3" i="3" a="1"/>
  <c r="O3" i="3" s="1"/>
  <c r="G22" i="4" s="1"/>
  <c r="I22" i="4" s="1"/>
  <c r="N11" i="3" a="1"/>
  <c r="N11" i="3" s="1"/>
  <c r="N10" i="3" a="1"/>
  <c r="N10" i="3" s="1"/>
  <c r="N9" i="3" a="1"/>
  <c r="N9" i="3" s="1"/>
  <c r="N8" i="3" a="1"/>
  <c r="N8" i="3" s="1"/>
  <c r="N7" i="3" a="1"/>
  <c r="N7" i="3" s="1"/>
  <c r="N6" i="3" a="1"/>
  <c r="N6" i="3" s="1"/>
  <c r="N5" i="3" a="1"/>
  <c r="N5" i="3" s="1"/>
  <c r="N4" i="3" a="1"/>
  <c r="N4" i="3" s="1"/>
  <c r="N3" i="3" a="1"/>
  <c r="N3" i="3" s="1"/>
  <c r="G21" i="4" s="1"/>
  <c r="I21" i="4" s="1"/>
  <c r="I23" i="4" l="1"/>
  <c r="B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<sst xmlns="http://schemas.openxmlformats.org/spreadsheetml/2006/main" count="186" uniqueCount="115">
  <si>
    <t>Pump kW</t>
  </si>
  <si>
    <t>RYB Indicators</t>
  </si>
  <si>
    <t>Yes</t>
  </si>
  <si>
    <t>No</t>
  </si>
  <si>
    <t>Single Phase Preventor</t>
  </si>
  <si>
    <t>Emergency Stop</t>
  </si>
  <si>
    <t>SPP</t>
  </si>
  <si>
    <t>E Stop</t>
  </si>
  <si>
    <t>Total Price</t>
  </si>
  <si>
    <t>MCB</t>
  </si>
  <si>
    <t>QTY</t>
  </si>
  <si>
    <t>kW</t>
  </si>
  <si>
    <t>contactor</t>
  </si>
  <si>
    <t>OLR</t>
  </si>
  <si>
    <t>BOX</t>
  </si>
  <si>
    <t>Labour</t>
  </si>
  <si>
    <t>Accessories</t>
  </si>
  <si>
    <t>Terminal Block</t>
  </si>
  <si>
    <t>0.75kW</t>
  </si>
  <si>
    <t>9A</t>
  </si>
  <si>
    <t>1-1.6A</t>
  </si>
  <si>
    <t>10A</t>
  </si>
  <si>
    <t>400x500x200</t>
  </si>
  <si>
    <t>4SQMM</t>
  </si>
  <si>
    <t>1.1kW</t>
  </si>
  <si>
    <t>12A</t>
  </si>
  <si>
    <t>1.6-2.5A</t>
  </si>
  <si>
    <t>2.2kW</t>
  </si>
  <si>
    <t>4-6A</t>
  </si>
  <si>
    <t>5.5kW</t>
  </si>
  <si>
    <t>25A</t>
  </si>
  <si>
    <t>5.5-8A</t>
  </si>
  <si>
    <t>400x600x200</t>
  </si>
  <si>
    <t>7.5kW</t>
  </si>
  <si>
    <t>32A</t>
  </si>
  <si>
    <t>12-18A</t>
  </si>
  <si>
    <t>6SQMM</t>
  </si>
  <si>
    <t>11kW</t>
  </si>
  <si>
    <t>40A</t>
  </si>
  <si>
    <t>17-25A</t>
  </si>
  <si>
    <t>15kW</t>
  </si>
  <si>
    <t>23-32A</t>
  </si>
  <si>
    <t>18.5kW</t>
  </si>
  <si>
    <t>50A</t>
  </si>
  <si>
    <t>30-40A</t>
  </si>
  <si>
    <t>10SQMM</t>
  </si>
  <si>
    <t>22kW</t>
  </si>
  <si>
    <t>65A</t>
  </si>
  <si>
    <t>37-50A</t>
  </si>
  <si>
    <t>63A</t>
  </si>
  <si>
    <t>500x600x200</t>
  </si>
  <si>
    <t>16SQMM</t>
  </si>
  <si>
    <t>A</t>
  </si>
  <si>
    <t>SIZE</t>
  </si>
  <si>
    <t>PRICE</t>
  </si>
  <si>
    <t>RYB Indicator</t>
  </si>
  <si>
    <t>S.NO</t>
  </si>
  <si>
    <t>DESCRIPTION OF MATERIAL</t>
  </si>
  <si>
    <t>SUP DTLS</t>
  </si>
  <si>
    <t>DISCOUNT</t>
  </si>
  <si>
    <t>NET</t>
  </si>
  <si>
    <t>MCB 4P</t>
  </si>
  <si>
    <t>CONTACTOR</t>
  </si>
  <si>
    <t>ACCESSORIES</t>
  </si>
  <si>
    <t>LABOUR</t>
  </si>
  <si>
    <t>TERMINAL BLOCK</t>
  </si>
  <si>
    <t>NORMAL PB GREEN</t>
  </si>
  <si>
    <t>NORMAL PB RED</t>
  </si>
  <si>
    <t>EMERGENCY STOP</t>
  </si>
  <si>
    <t>3 WAY SELECTOR A/M</t>
  </si>
  <si>
    <t>3 WAY SELECTOR P1/P2</t>
  </si>
  <si>
    <t>GREEN LAMP</t>
  </si>
  <si>
    <t>MY2N RELAY</t>
  </si>
  <si>
    <t>TRIP LAMP AMBER</t>
  </si>
  <si>
    <t>TERMINAL BLOCK 2.5 SQMM</t>
  </si>
  <si>
    <t>GRAND TOTAL</t>
  </si>
  <si>
    <t>PUMP kW:</t>
  </si>
  <si>
    <t>RYB INDICATORS</t>
  </si>
  <si>
    <t>R Y B</t>
  </si>
  <si>
    <t>SINGLE PHASE PREVENTOR</t>
  </si>
  <si>
    <t>SJ Industries</t>
  </si>
  <si>
    <t>WITH ELMT</t>
  </si>
  <si>
    <t>BOX SIZE</t>
  </si>
  <si>
    <t>MS SHEET COST/KG</t>
  </si>
  <si>
    <t>L</t>
  </si>
  <si>
    <t>W</t>
  </si>
  <si>
    <t xml:space="preserve">D </t>
  </si>
  <si>
    <t>BODY THK</t>
  </si>
  <si>
    <t>DOOR THK</t>
  </si>
  <si>
    <t>MOUNT PL THK</t>
  </si>
  <si>
    <t>GLAND PLATE THK</t>
  </si>
  <si>
    <t>PANEL COST</t>
  </si>
  <si>
    <t>IP42</t>
  </si>
  <si>
    <t>IP55</t>
  </si>
  <si>
    <t>BOX -SIDE</t>
  </si>
  <si>
    <t>THK</t>
  </si>
  <si>
    <t>BOX -REAR</t>
  </si>
  <si>
    <t>BOX -FRONT</t>
  </si>
  <si>
    <t>DOOR</t>
  </si>
  <si>
    <t>MOUNTING PLATE</t>
  </si>
  <si>
    <t>CLAND PLATE</t>
  </si>
  <si>
    <t>CLAMP</t>
  </si>
  <si>
    <t>TOTAL WIEGHT IN KG</t>
  </si>
  <si>
    <t>FRAME</t>
  </si>
  <si>
    <t>RAW MATERIAL COST</t>
  </si>
  <si>
    <t xml:space="preserve">LABOUR </t>
  </si>
  <si>
    <t>BOX Dimension Split</t>
  </si>
  <si>
    <t>D</t>
  </si>
  <si>
    <t xml:space="preserve">      </t>
  </si>
  <si>
    <t>No. Of Pumps</t>
  </si>
  <si>
    <t>Pump Count</t>
  </si>
  <si>
    <t>Timer Sequence</t>
  </si>
  <si>
    <t>TIMER</t>
  </si>
  <si>
    <t>CYCLIC TIMER</t>
  </si>
  <si>
    <t>DOL STARTER 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</si>
</sst>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₹&quot;* #,##0.00_);_(&quot;₹&quot;* \(#,##0.00\);_(&quot;₹&quot;* &quot;-&quot;??_);_(@_)"/>
    <numFmt numFmtId="165" formatCode="_ [$₹-4009]\ * #,##0.00_ ;_ [$₹-4009]\ * \-#,##0.00_ ;_ [$₹-4009]\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7">
    <xf numFmtId="0" fontId="0" fillId="0" borderId="0" xfId="0"/>
    <xf numFmtId="164" fontId="0" fillId="0" borderId="0" xfId="1" applyFont="1"/>
    <xf numFmtId="0" fontId="3" fillId="0" borderId="1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left"/>
      <protection hidden="1"/>
    </xf>
    <xf numFmtId="9" fontId="4" fillId="0" borderId="1" xfId="0" applyNumberFormat="1" applyFont="1" applyBorder="1" applyAlignment="1" applyProtection="1">
      <alignment horizontal="center"/>
      <protection hidden="1"/>
    </xf>
    <xf numFmtId="165" fontId="4" fillId="0" borderId="1" xfId="0" applyNumberFormat="1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vertical="center"/>
      <protection hidden="1"/>
    </xf>
    <xf numFmtId="0" fontId="3" fillId="0" borderId="4" xfId="0" applyFont="1" applyBorder="1" applyAlignment="1" applyProtection="1">
      <alignment vertical="center"/>
      <protection hidden="1"/>
    </xf>
    <xf numFmtId="164" fontId="4" fillId="0" borderId="1" xfId="1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1" xfId="0" applyNumberFormat="1" applyBorder="1"/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1" fontId="0" fillId="0" borderId="1" xfId="0" applyNumberFormat="1" applyBorder="1" applyAlignment="1">
      <alignment horizontal="center" vertical="top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" xfId="1" applyFont="1" applyBorder="1"/>
    <xf numFmtId="16" fontId="0" fillId="0" borderId="1" xfId="0" applyNumberFormat="1" applyBorder="1"/>
    <xf numFmtId="17" fontId="0" fillId="0" borderId="1" xfId="0" applyNumberForma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center" vertical="top"/>
    </xf>
    <xf numFmtId="0" fontId="0" fillId="0" borderId="2" xfId="0" applyBorder="1" applyAlignment="1">
      <alignment horizontal="right"/>
    </xf>
    <xf numFmtId="0" fontId="0" fillId="0" borderId="4" xfId="0" applyBorder="1" applyAlignment="1">
      <alignment horizontal="right"/>
    </xf>
    <xf numFmtId="164" fontId="0" fillId="0" borderId="1" xfId="1" applyFont="1" applyBorder="1" applyAlignment="1">
      <alignment horizontal="center" vertical="top"/>
    </xf>
    <xf numFmtId="1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4" fillId="0" borderId="2" xfId="0" applyFont="1" applyBorder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Lines="10" dropStyle="combo" dx="26" fmlaLink="MaterialList1!$A$12" fmlaRange="MaterialList1!$A$2:$A$11" noThreeD="1" sel="2" val="0"/>
</file>

<file path=xl/ctrlProps/ctrlProp2.xml><?xml version="1.0" encoding="utf-8"?>
<formControlPr xmlns="http://schemas.microsoft.com/office/spreadsheetml/2009/9/main" objectType="Drop" dropStyle="combo" dx="26" fmlaLink="MaterialList2!$D$2" fmlaRange="MaterialList2!$B$1:$B$3" noThreeD="1" sel="2" val="0"/>
</file>

<file path=xl/ctrlProps/ctrlProp3.xml><?xml version="1.0" encoding="utf-8"?>
<formControlPr xmlns="http://schemas.microsoft.com/office/spreadsheetml/2009/9/main" objectType="Drop" dropStyle="combo" dx="26" fmlaLink="MaterialList2!$D$5" fmlaRange="MaterialList2!$B$4:$B$6" noThreeD="1" sel="2" val="0"/>
</file>

<file path=xl/ctrlProps/ctrlProp4.xml><?xml version="1.0" encoding="utf-8"?>
<formControlPr xmlns="http://schemas.microsoft.com/office/spreadsheetml/2009/9/main" objectType="Drop" dropStyle="combo" dx="26" fmlaLink="MaterialList2!$D$8" fmlaRange="MaterialList2!$B$7:$B$9" noThreeD="1" sel="3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10" dropStyle="combo" dx="26" fmlaLink="MaterialList2!$D$12" fmlaRange="MaterialList2!$B$10:$B$14" noThreeD="1" sel="4" val="0"/>
</file>

<file path=xl/ctrlProps/ctrlProp7.xml><?xml version="1.0" encoding="utf-8"?>
<formControlPr xmlns="http://schemas.microsoft.com/office/spreadsheetml/2009/9/main" objectType="Drop" dropStyle="combo" dx="26" fmlaLink="MaterialList2!$D$16" fmlaRange="MaterialList2!$B$15:$B$17" noThreeD="1" sel="2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22860</xdr:rowOff>
        </xdr:from>
        <xdr:to>
          <xdr:col>1</xdr:col>
          <xdr:colOff>1211580</xdr:colOff>
          <xdr:row>1</xdr:row>
          <xdr:rowOff>228600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3</xdr:row>
          <xdr:rowOff>22860</xdr:rowOff>
        </xdr:from>
        <xdr:to>
          <xdr:col>1</xdr:col>
          <xdr:colOff>1211580</xdr:colOff>
          <xdr:row>3</xdr:row>
          <xdr:rowOff>228600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30480</xdr:rowOff>
        </xdr:from>
        <xdr:to>
          <xdr:col>1</xdr:col>
          <xdr:colOff>1211580</xdr:colOff>
          <xdr:row>5</xdr:row>
          <xdr:rowOff>236220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1</xdr:col>
          <xdr:colOff>1211580</xdr:colOff>
          <xdr:row>6</xdr:row>
          <xdr:rowOff>228600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8</xdr:row>
          <xdr:rowOff>22860</xdr:rowOff>
        </xdr:from>
        <xdr:to>
          <xdr:col>0</xdr:col>
          <xdr:colOff>853440</xdr:colOff>
          <xdr:row>8</xdr:row>
          <xdr:rowOff>228600</xdr:rowOff>
        </xdr:to>
        <xdr:sp macro="" textlink="">
          <xdr:nvSpPr>
            <xdr:cNvPr id="1039" name="Button 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2</xdr:row>
          <xdr:rowOff>30480</xdr:rowOff>
        </xdr:from>
        <xdr:to>
          <xdr:col>1</xdr:col>
          <xdr:colOff>1211580</xdr:colOff>
          <xdr:row>2</xdr:row>
          <xdr:rowOff>236220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4</xdr:row>
          <xdr:rowOff>30480</xdr:rowOff>
        </xdr:from>
        <xdr:to>
          <xdr:col>1</xdr:col>
          <xdr:colOff>1211580</xdr:colOff>
          <xdr:row>4</xdr:row>
          <xdr:rowOff>236220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0</xdr:row>
          <xdr:rowOff>83820</xdr:rowOff>
        </xdr:from>
        <xdr:to>
          <xdr:col>9</xdr:col>
          <xdr:colOff>563880</xdr:colOff>
          <xdr:row>0</xdr:row>
          <xdr:rowOff>266700</xdr:rowOff>
        </xdr:to>
        <xdr:sp macro="" textlink="">
          <xdr:nvSpPr>
            <xdr:cNvPr id="4097" name="Button 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0</xdr:row>
          <xdr:rowOff>365760</xdr:rowOff>
        </xdr:from>
        <xdr:to>
          <xdr:col>9</xdr:col>
          <xdr:colOff>563880</xdr:colOff>
          <xdr:row>1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4F57F-CEA0-4D63-AF27-1E0AA67523B3}">
  <sheetPr codeName="Sheet1"/>
  <dimension ref="A1:H10"/>
  <sheetViews>
    <sheetView tabSelected="1" zoomScale="110" workbookViewId="0">
      <selection activeCell="B14" sqref="B14"/>
    </sheetView>
  </sheetViews>
  <sheetFormatPr defaultRowHeight="19.8" customHeight="1" x14ac:dyDescent="0.3"/>
  <cols>
    <col min="1" max="1" width="15.33203125" bestFit="1" customWidth="1"/>
    <col min="2" max="2" width="18" customWidth="1"/>
  </cols>
  <sheetData>
    <row r="1" spans="1:8" ht="19.8" customHeight="1" x14ac:dyDescent="0.45">
      <c r="A1" s="30" t="s">
        <v>80</v>
      </c>
      <c r="B1" s="30"/>
      <c r="C1" s="30"/>
      <c r="D1" s="30"/>
      <c r="E1" s="30"/>
      <c r="F1" s="30"/>
      <c r="G1" s="30"/>
      <c r="H1" s="30"/>
    </row>
    <row r="2" spans="1:8" ht="19.8" customHeight="1" x14ac:dyDescent="0.3">
      <c r="A2" s="13" t="s">
        <v>0</v>
      </c>
      <c r="B2" s="13"/>
    </row>
    <row r="3" spans="1:8" ht="19.8" customHeight="1" x14ac:dyDescent="0.3">
      <c r="A3" s="13" t="s">
        <v>109</v>
      </c>
      <c r="B3" s="13"/>
    </row>
    <row r="4" spans="1:8" ht="19.8" customHeight="1" x14ac:dyDescent="0.3">
      <c r="A4" s="13" t="s">
        <v>1</v>
      </c>
      <c r="B4" s="13"/>
    </row>
    <row r="5" spans="1:8" ht="19.8" customHeight="1" x14ac:dyDescent="0.3">
      <c r="A5" s="13" t="s">
        <v>111</v>
      </c>
      <c r="B5" s="13"/>
    </row>
    <row r="6" spans="1:8" ht="19.8" customHeight="1" x14ac:dyDescent="0.3">
      <c r="A6" s="13" t="s">
        <v>6</v>
      </c>
      <c r="B6" s="13"/>
    </row>
    <row r="7" spans="1:8" ht="19.8" customHeight="1" x14ac:dyDescent="0.3">
      <c r="A7" s="13" t="s">
        <v>7</v>
      </c>
      <c r="B7" s="13"/>
    </row>
    <row r="8" spans="1:8" ht="19.8" customHeight="1" x14ac:dyDescent="0.3">
      <c r="A8" s="13" t="s">
        <v>8</v>
      </c>
      <c r="B8" s="14">
        <f>Print!I23</f>
        <v>31156.6</v>
      </c>
    </row>
    <row r="9" spans="1:8" ht="19.8" customHeight="1" x14ac:dyDescent="0.3">
      <c r="A9" s="13"/>
      <c r="B9" s="13"/>
    </row>
    <row r="10" spans="1:8" ht="19.8" customHeight="1" x14ac:dyDescent="0.3">
      <c r="A10" s="13"/>
      <c r="B10" s="13"/>
    </row>
  </sheetData>
  <sheetProtection algorithmName="SHA-512" hashValue="+WHUMKAA76cC9SPIPAjDiw2QWtw93loMn8wLamtl562By0oND94ZSL2aSWfFxX8DQnt61aMn62ElqTXrHWJHGA==" saltValue="tBSUIMeCkW0GI8ch3uF5Yg==" spinCount="100000" sheet="1" formatCells="0" formatColumns="0" formatRows="0" insertColumns="0" insertRows="0" insertHyperlinks="0" deleteColumns="0" deleteRows="0" sort="0" autoFilter="0" pivotTables="0"/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Drop Down 9">
              <controlPr defaultSize="0" autoLine="0" autoPict="0">
                <anchor moveWithCells="1">
                  <from>
                    <xdr:col>1</xdr:col>
                    <xdr:colOff>30480</xdr:colOff>
                    <xdr:row>1</xdr:row>
                    <xdr:rowOff>22860</xdr:rowOff>
                  </from>
                  <to>
                    <xdr:col>1</xdr:col>
                    <xdr:colOff>1211580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op Down 10">
              <controlPr defaultSize="0" autoLine="0" autoPict="0">
                <anchor moveWithCells="1">
                  <from>
                    <xdr:col>1</xdr:col>
                    <xdr:colOff>30480</xdr:colOff>
                    <xdr:row>3</xdr:row>
                    <xdr:rowOff>22860</xdr:rowOff>
                  </from>
                  <to>
                    <xdr:col>1</xdr:col>
                    <xdr:colOff>1211580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Drop Down 11">
              <controlPr defaultSize="0" autoLine="0" autoPict="0">
                <anchor moveWithCells="1">
                  <from>
                    <xdr:col>1</xdr:col>
                    <xdr:colOff>30480</xdr:colOff>
                    <xdr:row>5</xdr:row>
                    <xdr:rowOff>30480</xdr:rowOff>
                  </from>
                  <to>
                    <xdr:col>1</xdr:col>
                    <xdr:colOff>1211580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Drop Down 12">
              <controlPr defaultSize="0" autoLine="0" autoPict="0">
                <anchor moveWithCells="1">
                  <from>
                    <xdr:col>1</xdr:col>
                    <xdr:colOff>30480</xdr:colOff>
                    <xdr:row>6</xdr:row>
                    <xdr:rowOff>22860</xdr:rowOff>
                  </from>
                  <to>
                    <xdr:col>1</xdr:col>
                    <xdr:colOff>1211580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">
              <controlPr defaultSize="0" print="0" autoFill="0" autoPict="0" macro="[0]!_xludf.Save">
                <anchor moveWithCells="1">
                  <from>
                    <xdr:col>0</xdr:col>
                    <xdr:colOff>266700</xdr:colOff>
                    <xdr:row>8</xdr:row>
                    <xdr:rowOff>22860</xdr:rowOff>
                  </from>
                  <to>
                    <xdr:col>0</xdr:col>
                    <xdr:colOff>853440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Drop Down 23">
              <controlPr defaultSize="0" autoLine="0" autoPict="0">
                <anchor moveWithCells="1">
                  <from>
                    <xdr:col>1</xdr:col>
                    <xdr:colOff>30480</xdr:colOff>
                    <xdr:row>2</xdr:row>
                    <xdr:rowOff>30480</xdr:rowOff>
                  </from>
                  <to>
                    <xdr:col>1</xdr:col>
                    <xdr:colOff>1211580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Drop Down 24">
              <controlPr defaultSize="0" autoLine="0" autoPict="0">
                <anchor moveWithCells="1">
                  <from>
                    <xdr:col>1</xdr:col>
                    <xdr:colOff>30480</xdr:colOff>
                    <xdr:row>4</xdr:row>
                    <xdr:rowOff>30480</xdr:rowOff>
                  </from>
                  <to>
                    <xdr:col>1</xdr:col>
                    <xdr:colOff>1211580</xdr:colOff>
                    <xdr:row>4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14399-C210-469B-BD35-BFDB251827B4}">
  <sheetPr codeName="Sheet3"/>
  <dimension ref="A1:P25"/>
  <sheetViews>
    <sheetView workbookViewId="0">
      <selection activeCell="B9" sqref="B9:E9"/>
    </sheetView>
  </sheetViews>
  <sheetFormatPr defaultRowHeight="14.4" x14ac:dyDescent="0.3"/>
  <cols>
    <col min="1" max="1" width="7.109375" customWidth="1"/>
    <col min="2" max="2" width="4.33203125" bestFit="1" customWidth="1"/>
    <col min="3" max="3" width="11.33203125" bestFit="1" customWidth="1"/>
    <col min="4" max="4" width="7.88671875" bestFit="1" customWidth="1"/>
    <col min="5" max="5" width="10.33203125" bestFit="1" customWidth="1"/>
    <col min="6" max="6" width="4.109375" bestFit="1" customWidth="1"/>
    <col min="7" max="7" width="10.33203125" bestFit="1" customWidth="1"/>
    <col min="8" max="8" width="11.77734375" bestFit="1" customWidth="1"/>
    <col min="9" max="10" width="10.33203125" bestFit="1" customWidth="1"/>
    <col min="11" max="11" width="10.44140625" bestFit="1" customWidth="1"/>
    <col min="12" max="12" width="8.5546875" bestFit="1" customWidth="1"/>
    <col min="13" max="13" width="7.88671875" bestFit="1" customWidth="1"/>
    <col min="14" max="14" width="12.109375" bestFit="1" customWidth="1"/>
    <col min="15" max="15" width="10.109375" bestFit="1" customWidth="1"/>
    <col min="16" max="16" width="8.6640625" bestFit="1" customWidth="1"/>
  </cols>
  <sheetData>
    <row r="1" spans="1:16" x14ac:dyDescent="0.3">
      <c r="A1" s="13" t="s">
        <v>11</v>
      </c>
      <c r="B1" s="31" t="s">
        <v>12</v>
      </c>
      <c r="C1" s="31"/>
      <c r="D1" s="31" t="s">
        <v>13</v>
      </c>
      <c r="E1" s="31"/>
      <c r="F1" s="31" t="s">
        <v>9</v>
      </c>
      <c r="G1" s="31"/>
      <c r="H1" s="31" t="s">
        <v>14</v>
      </c>
      <c r="I1" s="31"/>
      <c r="J1" s="13" t="s">
        <v>15</v>
      </c>
      <c r="K1" s="13" t="s">
        <v>16</v>
      </c>
      <c r="L1" s="31" t="s">
        <v>17</v>
      </c>
      <c r="M1" s="31"/>
      <c r="N1" s="13" t="s">
        <v>55</v>
      </c>
      <c r="O1" s="13" t="s">
        <v>6</v>
      </c>
      <c r="P1" s="13" t="s">
        <v>7</v>
      </c>
    </row>
    <row r="2" spans="1:16" x14ac:dyDescent="0.3">
      <c r="A2" s="13" t="s">
        <v>108</v>
      </c>
      <c r="B2" s="15"/>
      <c r="C2" s="15"/>
      <c r="D2" s="15"/>
      <c r="E2" s="15"/>
      <c r="F2" s="15"/>
      <c r="G2" s="15"/>
      <c r="H2" s="15"/>
      <c r="I2" s="15"/>
      <c r="J2" s="13"/>
      <c r="K2" s="13"/>
      <c r="L2" s="15"/>
      <c r="M2" s="15"/>
      <c r="N2" s="13"/>
      <c r="O2" s="13"/>
      <c r="P2" s="13"/>
    </row>
    <row r="3" spans="1:16" x14ac:dyDescent="0.3">
      <c r="A3" s="13" t="s">
        <v>18</v>
      </c>
      <c r="B3" s="13" t="s">
        <v>19</v>
      </c>
      <c r="C3" s="27">
        <v>1170</v>
      </c>
      <c r="D3" s="13" t="s">
        <v>20</v>
      </c>
      <c r="E3" s="27">
        <v>1850</v>
      </c>
      <c r="F3" s="13" t="s">
        <v>21</v>
      </c>
      <c r="G3" s="27">
        <v>2482</v>
      </c>
      <c r="H3" s="13" t="s">
        <v>22</v>
      </c>
      <c r="I3" s="27">
        <v>5640</v>
      </c>
      <c r="J3" s="27">
        <v>4000</v>
      </c>
      <c r="K3" s="27">
        <v>2000</v>
      </c>
      <c r="L3" s="13" t="s">
        <v>23</v>
      </c>
      <c r="M3" s="27">
        <v>11.4</v>
      </c>
      <c r="N3" s="27" cm="1">
        <f t="array" ref="N3">INDEX(MaterialList2!C1:C3,MaterialList2!D2)</f>
        <v>765</v>
      </c>
      <c r="O3" s="27" cm="1">
        <f t="array" ref="O3">INDEX(MaterialList2!C4:C6,MaterialList2!D5)</f>
        <v>1850</v>
      </c>
      <c r="P3" s="27" cm="1">
        <f t="array" ref="P3">INDEX(MaterialList2!C7:C9,MaterialList2!D8)</f>
        <v>0</v>
      </c>
    </row>
    <row r="4" spans="1:16" x14ac:dyDescent="0.3">
      <c r="A4" s="13" t="s">
        <v>24</v>
      </c>
      <c r="B4" s="13" t="s">
        <v>19</v>
      </c>
      <c r="C4" s="27">
        <v>1325</v>
      </c>
      <c r="D4" s="13" t="s">
        <v>26</v>
      </c>
      <c r="E4" s="27">
        <v>1850</v>
      </c>
      <c r="F4" s="13" t="s">
        <v>21</v>
      </c>
      <c r="G4" s="27">
        <f>G3</f>
        <v>2482</v>
      </c>
      <c r="H4" s="13" t="s">
        <v>22</v>
      </c>
      <c r="I4" s="27">
        <v>5640</v>
      </c>
      <c r="J4" s="27">
        <v>4000</v>
      </c>
      <c r="K4" s="27">
        <v>750</v>
      </c>
      <c r="L4" s="13" t="s">
        <v>23</v>
      </c>
      <c r="M4" s="27">
        <f>M3</f>
        <v>11.4</v>
      </c>
      <c r="N4" s="27" cm="1">
        <f t="array" ref="N4">INDEX(MaterialList2!C1:C3,MaterialList2!D2)</f>
        <v>765</v>
      </c>
      <c r="O4" s="27" cm="1">
        <f t="array" ref="O4">INDEX(MaterialList2!C4:C6,MaterialList2!D5)</f>
        <v>1850</v>
      </c>
      <c r="P4" s="27" cm="1">
        <f t="array" ref="P4">INDEX(MaterialList2!C7:C9,MaterialList2!D8)</f>
        <v>0</v>
      </c>
    </row>
    <row r="5" spans="1:16" x14ac:dyDescent="0.3">
      <c r="A5" s="13" t="s">
        <v>27</v>
      </c>
      <c r="B5" s="13" t="s">
        <v>25</v>
      </c>
      <c r="C5" s="27">
        <v>1550</v>
      </c>
      <c r="D5" s="28" t="s">
        <v>28</v>
      </c>
      <c r="E5" s="27">
        <v>1850</v>
      </c>
      <c r="F5" s="13" t="s">
        <v>21</v>
      </c>
      <c r="G5" s="27">
        <f>G4</f>
        <v>2482</v>
      </c>
      <c r="H5" s="13" t="s">
        <v>22</v>
      </c>
      <c r="I5" s="27">
        <v>5640</v>
      </c>
      <c r="J5" s="27">
        <v>4000</v>
      </c>
      <c r="K5" s="27">
        <v>2000</v>
      </c>
      <c r="L5" s="13" t="s">
        <v>23</v>
      </c>
      <c r="M5" s="27">
        <f t="shared" ref="M5:M6" si="0">M4</f>
        <v>11.4</v>
      </c>
      <c r="N5" s="27" cm="1">
        <f t="array" ref="N5">INDEX(MaterialList2!C1:C3,MaterialList2!D2)</f>
        <v>765</v>
      </c>
      <c r="O5" s="27" cm="1">
        <f t="array" ref="O5">INDEX(MaterialList2!C4:C6,MaterialList2!D5)</f>
        <v>1850</v>
      </c>
      <c r="P5" s="27" cm="1">
        <f t="array" ref="P5">INDEX(MaterialList2!C7:C9,MaterialList2!D8)</f>
        <v>0</v>
      </c>
    </row>
    <row r="6" spans="1:16" x14ac:dyDescent="0.3">
      <c r="A6" s="13" t="s">
        <v>29</v>
      </c>
      <c r="B6" s="13" t="s">
        <v>30</v>
      </c>
      <c r="C6" s="27">
        <v>2130</v>
      </c>
      <c r="D6" s="13" t="s">
        <v>31</v>
      </c>
      <c r="E6" s="27">
        <v>1850</v>
      </c>
      <c r="F6" s="13" t="s">
        <v>30</v>
      </c>
      <c r="G6" s="27">
        <v>2482</v>
      </c>
      <c r="H6" s="13" t="s">
        <v>32</v>
      </c>
      <c r="I6" s="27">
        <v>6645</v>
      </c>
      <c r="J6" s="27">
        <v>5000</v>
      </c>
      <c r="K6" s="27">
        <v>3000</v>
      </c>
      <c r="L6" s="13" t="s">
        <v>23</v>
      </c>
      <c r="M6" s="27">
        <f t="shared" si="0"/>
        <v>11.4</v>
      </c>
      <c r="N6" s="27" cm="1">
        <f t="array" ref="N6">INDEX(MaterialList2!C1:C3,MaterialList2!D2)</f>
        <v>765</v>
      </c>
      <c r="O6" s="27" cm="1">
        <f t="array" ref="O6">INDEX(MaterialList2!C4:C6,MaterialList2!D5)</f>
        <v>1850</v>
      </c>
      <c r="P6" s="27" cm="1">
        <f t="array" ref="P6">INDEX(MaterialList2!C7:C9,MaterialList2!D8)</f>
        <v>0</v>
      </c>
    </row>
    <row r="7" spans="1:16" x14ac:dyDescent="0.3">
      <c r="A7" s="13" t="s">
        <v>33</v>
      </c>
      <c r="B7" s="13" t="s">
        <v>34</v>
      </c>
      <c r="C7" s="27">
        <v>4670</v>
      </c>
      <c r="D7" s="29" t="s">
        <v>35</v>
      </c>
      <c r="E7" s="27">
        <v>2100</v>
      </c>
      <c r="F7" s="13" t="s">
        <v>30</v>
      </c>
      <c r="G7" s="27">
        <f>G6</f>
        <v>2482</v>
      </c>
      <c r="H7" s="13" t="s">
        <v>32</v>
      </c>
      <c r="I7" s="27">
        <v>6645</v>
      </c>
      <c r="J7" s="27">
        <v>5000</v>
      </c>
      <c r="K7" s="27">
        <v>3000</v>
      </c>
      <c r="L7" s="13" t="s">
        <v>36</v>
      </c>
      <c r="M7" s="27">
        <v>16.100000000000001</v>
      </c>
      <c r="N7" s="27" cm="1">
        <f t="array" ref="N7">INDEX(MaterialList2!C1:C3,MaterialList2!D2)</f>
        <v>765</v>
      </c>
      <c r="O7" s="27" cm="1">
        <f t="array" ref="O7">INDEX(MaterialList2!C4:C6,MaterialList2!D5)</f>
        <v>1850</v>
      </c>
      <c r="P7" s="27" cm="1">
        <f t="array" ref="P7">INDEX(MaterialList2!C7:C9,MaterialList2!D8)</f>
        <v>0</v>
      </c>
    </row>
    <row r="8" spans="1:16" x14ac:dyDescent="0.3">
      <c r="A8" s="13" t="s">
        <v>37</v>
      </c>
      <c r="B8" s="13" t="s">
        <v>38</v>
      </c>
      <c r="C8" s="27">
        <v>5990</v>
      </c>
      <c r="D8" s="13" t="s">
        <v>39</v>
      </c>
      <c r="E8" s="27">
        <v>2100</v>
      </c>
      <c r="F8" s="13" t="s">
        <v>34</v>
      </c>
      <c r="G8" s="27">
        <v>2482</v>
      </c>
      <c r="H8" s="13" t="s">
        <v>32</v>
      </c>
      <c r="I8" s="27">
        <v>6645</v>
      </c>
      <c r="J8" s="27">
        <v>5000</v>
      </c>
      <c r="K8" s="27">
        <v>3500</v>
      </c>
      <c r="L8" s="13" t="s">
        <v>36</v>
      </c>
      <c r="M8" s="27">
        <v>16.100000000000001</v>
      </c>
      <c r="N8" s="27" cm="1">
        <f t="array" ref="N8">INDEX(MaterialList2!C1:C3,MaterialList2!D2)</f>
        <v>765</v>
      </c>
      <c r="O8" s="27" cm="1">
        <f t="array" ref="O8">INDEX(MaterialList2!C4:C6,MaterialList2!D5)</f>
        <v>1850</v>
      </c>
      <c r="P8" s="27" cm="1">
        <f t="array" ref="P8">INDEX(MaterialList2!C7:C9,MaterialList2!D8)</f>
        <v>0</v>
      </c>
    </row>
    <row r="9" spans="1:16" x14ac:dyDescent="0.3">
      <c r="A9" s="13" t="s">
        <v>40</v>
      </c>
      <c r="B9" s="13" t="s">
        <v>38</v>
      </c>
      <c r="C9" s="27">
        <f>C8</f>
        <v>5990</v>
      </c>
      <c r="D9" s="13" t="s">
        <v>41</v>
      </c>
      <c r="E9" s="27">
        <v>2100</v>
      </c>
      <c r="F9" s="13" t="s">
        <v>34</v>
      </c>
      <c r="G9" s="27">
        <f>G8</f>
        <v>2482</v>
      </c>
      <c r="H9" s="13" t="s">
        <v>32</v>
      </c>
      <c r="I9" s="27">
        <v>6645</v>
      </c>
      <c r="J9" s="27">
        <v>5000</v>
      </c>
      <c r="K9" s="27">
        <v>3500</v>
      </c>
      <c r="L9" s="13" t="s">
        <v>36</v>
      </c>
      <c r="M9" s="27">
        <v>16.100000000000001</v>
      </c>
      <c r="N9" s="27" cm="1">
        <f t="array" ref="N9">INDEX(MaterialList2!C1:C3,MaterialList2!D2)</f>
        <v>765</v>
      </c>
      <c r="O9" s="27" cm="1">
        <f t="array" ref="O9">INDEX(MaterialList2!C4:C6,MaterialList2!D5)</f>
        <v>1850</v>
      </c>
      <c r="P9" s="27" cm="1">
        <f t="array" ref="P9">INDEX(MaterialList2!C7:C9,MaterialList2!D8)</f>
        <v>0</v>
      </c>
    </row>
    <row r="10" spans="1:16" x14ac:dyDescent="0.3">
      <c r="A10" s="13" t="s">
        <v>42</v>
      </c>
      <c r="B10" s="13" t="s">
        <v>43</v>
      </c>
      <c r="C10" s="27">
        <v>8750</v>
      </c>
      <c r="D10" s="13" t="s">
        <v>44</v>
      </c>
      <c r="E10" s="27">
        <v>2400</v>
      </c>
      <c r="F10" s="13" t="s">
        <v>38</v>
      </c>
      <c r="G10" s="27">
        <v>3659</v>
      </c>
      <c r="H10" s="13" t="s">
        <v>32</v>
      </c>
      <c r="I10" s="27">
        <v>6645</v>
      </c>
      <c r="J10" s="27">
        <v>6000</v>
      </c>
      <c r="K10" s="27">
        <v>4000</v>
      </c>
      <c r="L10" s="13" t="s">
        <v>45</v>
      </c>
      <c r="M10" s="27">
        <v>20.5</v>
      </c>
      <c r="N10" s="27" cm="1">
        <f t="array" ref="N10">INDEX(MaterialList2!C1:C3,MaterialList2!D2)</f>
        <v>765</v>
      </c>
      <c r="O10" s="27" cm="1">
        <f t="array" ref="O10">INDEX(MaterialList2!C4:C6,MaterialList2!D5)</f>
        <v>1850</v>
      </c>
      <c r="P10" s="27" cm="1">
        <f t="array" ref="P10">INDEX(MaterialList2!C7:C9,MaterialList2!D8)</f>
        <v>0</v>
      </c>
    </row>
    <row r="11" spans="1:16" x14ac:dyDescent="0.3">
      <c r="A11" s="13" t="s">
        <v>46</v>
      </c>
      <c r="B11" s="13" t="s">
        <v>47</v>
      </c>
      <c r="C11" s="27">
        <v>11950</v>
      </c>
      <c r="D11" s="13" t="s">
        <v>48</v>
      </c>
      <c r="E11" s="27">
        <v>4100</v>
      </c>
      <c r="F11" s="13" t="s">
        <v>49</v>
      </c>
      <c r="G11" s="27">
        <v>3659</v>
      </c>
      <c r="H11" s="13" t="s">
        <v>50</v>
      </c>
      <c r="I11" s="27">
        <v>7625</v>
      </c>
      <c r="J11" s="27">
        <v>6000</v>
      </c>
      <c r="K11" s="27">
        <v>5000</v>
      </c>
      <c r="L11" s="13" t="s">
        <v>51</v>
      </c>
      <c r="M11" s="27">
        <v>36.200000000000003</v>
      </c>
      <c r="N11" s="27" cm="1">
        <f t="array" ref="N11">INDEX(MaterialList2!C1:C3,MaterialList2!D2)</f>
        <v>765</v>
      </c>
      <c r="O11" s="27" cm="1">
        <f t="array" ref="O11">INDEX(MaterialList2!C4:C6,MaterialList2!D5)</f>
        <v>1850</v>
      </c>
      <c r="P11" s="27" cm="1">
        <f t="array" ref="P11">INDEX(MaterialList2!C7:C9,MaterialList2!D8)</f>
        <v>0</v>
      </c>
    </row>
    <row r="12" spans="1:16" x14ac:dyDescent="0.3">
      <c r="A12" s="13">
        <v>2</v>
      </c>
      <c r="B12" s="13" t="s">
        <v>52</v>
      </c>
      <c r="C12" s="13" t="s">
        <v>54</v>
      </c>
      <c r="D12" s="13" t="s">
        <v>52</v>
      </c>
      <c r="E12" s="13" t="s">
        <v>54</v>
      </c>
      <c r="F12" s="13"/>
      <c r="G12" s="13" t="s">
        <v>54</v>
      </c>
      <c r="H12" s="13" t="s">
        <v>53</v>
      </c>
      <c r="I12" s="13" t="s">
        <v>54</v>
      </c>
      <c r="J12" s="13"/>
      <c r="K12" s="13"/>
      <c r="L12" s="13" t="s">
        <v>53</v>
      </c>
      <c r="M12" s="13" t="s">
        <v>54</v>
      </c>
      <c r="N12" s="13" t="s">
        <v>54</v>
      </c>
      <c r="O12" s="13" t="s">
        <v>54</v>
      </c>
      <c r="P12" s="13" t="s">
        <v>54</v>
      </c>
    </row>
    <row r="13" spans="1:16" ht="15" thickBot="1" x14ac:dyDescent="0.35">
      <c r="C13" s="1"/>
    </row>
    <row r="14" spans="1:16" x14ac:dyDescent="0.3">
      <c r="A14" s="32" t="s">
        <v>106</v>
      </c>
      <c r="B14" s="33"/>
      <c r="C14" s="34"/>
    </row>
    <row r="15" spans="1:16" x14ac:dyDescent="0.3">
      <c r="A15" s="22" t="s">
        <v>84</v>
      </c>
      <c r="B15" s="13" t="s">
        <v>85</v>
      </c>
      <c r="C15" s="23" t="s">
        <v>107</v>
      </c>
    </row>
    <row r="16" spans="1:16" x14ac:dyDescent="0.3">
      <c r="A16" s="22"/>
      <c r="B16" s="13"/>
      <c r="C16" s="23"/>
    </row>
    <row r="17" spans="1:3" x14ac:dyDescent="0.3">
      <c r="A17" s="22">
        <v>400</v>
      </c>
      <c r="B17" s="13">
        <v>500</v>
      </c>
      <c r="C17" s="23">
        <v>200</v>
      </c>
    </row>
    <row r="18" spans="1:3" x14ac:dyDescent="0.3">
      <c r="A18" s="22">
        <v>400</v>
      </c>
      <c r="B18" s="13">
        <v>500</v>
      </c>
      <c r="C18" s="23">
        <v>200</v>
      </c>
    </row>
    <row r="19" spans="1:3" x14ac:dyDescent="0.3">
      <c r="A19" s="22">
        <v>400</v>
      </c>
      <c r="B19" s="13">
        <v>500</v>
      </c>
      <c r="C19" s="23">
        <v>200</v>
      </c>
    </row>
    <row r="20" spans="1:3" x14ac:dyDescent="0.3">
      <c r="A20" s="22">
        <v>400</v>
      </c>
      <c r="B20" s="13">
        <v>600</v>
      </c>
      <c r="C20" s="23">
        <v>200</v>
      </c>
    </row>
    <row r="21" spans="1:3" x14ac:dyDescent="0.3">
      <c r="A21" s="22">
        <v>400</v>
      </c>
      <c r="B21" s="13">
        <v>600</v>
      </c>
      <c r="C21" s="23">
        <v>200</v>
      </c>
    </row>
    <row r="22" spans="1:3" x14ac:dyDescent="0.3">
      <c r="A22" s="22">
        <v>400</v>
      </c>
      <c r="B22" s="13">
        <v>600</v>
      </c>
      <c r="C22" s="23">
        <v>200</v>
      </c>
    </row>
    <row r="23" spans="1:3" x14ac:dyDescent="0.3">
      <c r="A23" s="22">
        <v>400</v>
      </c>
      <c r="B23" s="13">
        <v>600</v>
      </c>
      <c r="C23" s="23">
        <v>200</v>
      </c>
    </row>
    <row r="24" spans="1:3" x14ac:dyDescent="0.3">
      <c r="A24" s="22">
        <v>400</v>
      </c>
      <c r="B24" s="13">
        <v>600</v>
      </c>
      <c r="C24" s="23">
        <v>200</v>
      </c>
    </row>
    <row r="25" spans="1:3" ht="15" thickBot="1" x14ac:dyDescent="0.35">
      <c r="A25" s="24">
        <v>500</v>
      </c>
      <c r="B25" s="25">
        <v>600</v>
      </c>
      <c r="C25" s="26">
        <v>200</v>
      </c>
    </row>
  </sheetData>
  <mergeCells count="6">
    <mergeCell ref="L1:M1"/>
    <mergeCell ref="A14:C14"/>
    <mergeCell ref="B1:C1"/>
    <mergeCell ref="D1:E1"/>
    <mergeCell ref="F1:G1"/>
    <mergeCell ref="H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EBC1-A4E0-4BCD-908C-E953BDA7FA8C}">
  <sheetPr codeName="Sheet2"/>
  <dimension ref="A1:E17"/>
  <sheetViews>
    <sheetView workbookViewId="0">
      <selection activeCell="B9" sqref="B9:E9"/>
    </sheetView>
  </sheetViews>
  <sheetFormatPr defaultRowHeight="14.4" x14ac:dyDescent="0.3"/>
  <cols>
    <col min="1" max="1" width="19.5546875" bestFit="1" customWidth="1"/>
    <col min="3" max="3" width="11.109375" style="1" bestFit="1" customWidth="1"/>
  </cols>
  <sheetData>
    <row r="1" spans="1:5" x14ac:dyDescent="0.3">
      <c r="A1" t="s">
        <v>1</v>
      </c>
      <c r="C1" s="1">
        <v>0</v>
      </c>
    </row>
    <row r="2" spans="1:5" x14ac:dyDescent="0.3">
      <c r="B2" t="s">
        <v>2</v>
      </c>
      <c r="C2" s="1">
        <v>765</v>
      </c>
      <c r="D2">
        <v>2</v>
      </c>
      <c r="E2">
        <v>1</v>
      </c>
    </row>
    <row r="3" spans="1:5" x14ac:dyDescent="0.3">
      <c r="B3" t="s">
        <v>3</v>
      </c>
      <c r="C3" s="1">
        <v>0</v>
      </c>
      <c r="E3">
        <v>0</v>
      </c>
    </row>
    <row r="4" spans="1:5" x14ac:dyDescent="0.3">
      <c r="A4" t="s">
        <v>4</v>
      </c>
      <c r="C4" s="1">
        <v>0</v>
      </c>
    </row>
    <row r="5" spans="1:5" x14ac:dyDescent="0.3">
      <c r="B5" t="s">
        <v>2</v>
      </c>
      <c r="C5" s="1">
        <v>1850</v>
      </c>
      <c r="D5">
        <v>2</v>
      </c>
      <c r="E5">
        <v>1</v>
      </c>
    </row>
    <row r="6" spans="1:5" x14ac:dyDescent="0.3">
      <c r="B6" t="s">
        <v>3</v>
      </c>
      <c r="C6" s="1">
        <v>0</v>
      </c>
      <c r="E6">
        <v>0</v>
      </c>
    </row>
    <row r="7" spans="1:5" x14ac:dyDescent="0.3">
      <c r="A7" t="s">
        <v>5</v>
      </c>
      <c r="C7" s="1">
        <v>0</v>
      </c>
    </row>
    <row r="8" spans="1:5" x14ac:dyDescent="0.3">
      <c r="B8" t="s">
        <v>2</v>
      </c>
      <c r="C8" s="1">
        <v>247.5</v>
      </c>
      <c r="D8">
        <v>3</v>
      </c>
      <c r="E8">
        <v>1</v>
      </c>
    </row>
    <row r="9" spans="1:5" x14ac:dyDescent="0.3">
      <c r="B9" t="s">
        <v>3</v>
      </c>
      <c r="C9" s="1">
        <v>0</v>
      </c>
      <c r="E9">
        <v>0</v>
      </c>
    </row>
    <row r="10" spans="1:5" x14ac:dyDescent="0.3">
      <c r="A10" t="s">
        <v>110</v>
      </c>
    </row>
    <row r="11" spans="1:5" x14ac:dyDescent="0.3">
      <c r="B11">
        <v>1</v>
      </c>
    </row>
    <row r="12" spans="1:5" x14ac:dyDescent="0.3">
      <c r="B12">
        <v>2</v>
      </c>
      <c r="D12">
        <v>4</v>
      </c>
    </row>
    <row r="13" spans="1:5" x14ac:dyDescent="0.3">
      <c r="B13">
        <v>3</v>
      </c>
    </row>
    <row r="14" spans="1:5" x14ac:dyDescent="0.3">
      <c r="B14">
        <v>4</v>
      </c>
    </row>
    <row r="15" spans="1:5" x14ac:dyDescent="0.3">
      <c r="A15" t="s">
        <v>111</v>
      </c>
      <c r="C15" s="1">
        <v>0</v>
      </c>
    </row>
    <row r="16" spans="1:5" x14ac:dyDescent="0.3">
      <c r="B16" t="s">
        <v>2</v>
      </c>
      <c r="C16" s="1">
        <v>1850</v>
      </c>
      <c r="D16">
        <v>2</v>
      </c>
      <c r="E16" cm="1">
        <f t="array" ref="E16">INDEX(B10:B14,D12)-1</f>
        <v>2</v>
      </c>
    </row>
    <row r="17" spans="2:3" x14ac:dyDescent="0.3">
      <c r="B17" t="s">
        <v>3</v>
      </c>
      <c r="C17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D041E-9D65-4D1D-A5D3-1C4BEA4E845C}">
  <sheetPr codeName="Sheet5"/>
  <dimension ref="A1:D37"/>
  <sheetViews>
    <sheetView zoomScale="119" workbookViewId="0">
      <selection activeCell="B9" sqref="B9:E9"/>
    </sheetView>
  </sheetViews>
  <sheetFormatPr defaultRowHeight="14.4" x14ac:dyDescent="0.3"/>
  <cols>
    <col min="1" max="1" width="20" customWidth="1"/>
    <col min="2" max="2" width="10.77734375" customWidth="1"/>
    <col min="3" max="3" width="10.5546875" customWidth="1"/>
    <col min="4" max="4" width="9.21875" customWidth="1"/>
  </cols>
  <sheetData>
    <row r="1" spans="1:4" x14ac:dyDescent="0.3">
      <c r="A1" s="41" t="s">
        <v>82</v>
      </c>
      <c r="B1" s="41"/>
      <c r="C1" s="41"/>
      <c r="D1" s="41"/>
    </row>
    <row r="2" spans="1:4" x14ac:dyDescent="0.3">
      <c r="A2" s="15" t="s">
        <v>83</v>
      </c>
      <c r="B2" s="31">
        <v>100</v>
      </c>
      <c r="C2" s="31"/>
      <c r="D2" s="31"/>
    </row>
    <row r="3" spans="1:4" x14ac:dyDescent="0.3">
      <c r="A3" s="13" t="s">
        <v>84</v>
      </c>
      <c r="B3" s="47">
        <f>Print!C4</f>
        <v>400</v>
      </c>
      <c r="C3" s="48"/>
      <c r="D3" s="49"/>
    </row>
    <row r="4" spans="1:4" x14ac:dyDescent="0.3">
      <c r="A4" s="13" t="s">
        <v>85</v>
      </c>
      <c r="B4" s="47">
        <f>Print!D4</f>
        <v>500</v>
      </c>
      <c r="C4" s="48"/>
      <c r="D4" s="49"/>
    </row>
    <row r="5" spans="1:4" x14ac:dyDescent="0.3">
      <c r="A5" s="13" t="s">
        <v>86</v>
      </c>
      <c r="B5" s="47">
        <f>Print!E4</f>
        <v>200</v>
      </c>
      <c r="C5" s="48"/>
      <c r="D5" s="49"/>
    </row>
    <row r="6" spans="1:4" x14ac:dyDescent="0.3">
      <c r="A6" s="13" t="s">
        <v>87</v>
      </c>
      <c r="B6" s="44">
        <v>1.2</v>
      </c>
      <c r="C6" s="45"/>
      <c r="D6" s="46"/>
    </row>
    <row r="7" spans="1:4" x14ac:dyDescent="0.3">
      <c r="A7" s="13" t="s">
        <v>88</v>
      </c>
      <c r="B7" s="44">
        <v>2</v>
      </c>
      <c r="C7" s="45"/>
      <c r="D7" s="46"/>
    </row>
    <row r="8" spans="1:4" x14ac:dyDescent="0.3">
      <c r="A8" s="13" t="s">
        <v>89</v>
      </c>
      <c r="B8" s="44">
        <v>2</v>
      </c>
      <c r="C8" s="45"/>
      <c r="D8" s="46"/>
    </row>
    <row r="9" spans="1:4" x14ac:dyDescent="0.3">
      <c r="A9" s="13" t="s">
        <v>90</v>
      </c>
      <c r="B9" s="44">
        <v>4</v>
      </c>
      <c r="C9" s="45"/>
      <c r="D9" s="46"/>
    </row>
    <row r="10" spans="1:4" x14ac:dyDescent="0.3">
      <c r="A10" s="42" t="s">
        <v>91</v>
      </c>
      <c r="B10" s="16" t="s">
        <v>92</v>
      </c>
      <c r="C10" s="17">
        <f>C37</f>
        <v>10483.5</v>
      </c>
      <c r="D10" s="18"/>
    </row>
    <row r="11" spans="1:4" x14ac:dyDescent="0.3">
      <c r="A11" s="43"/>
      <c r="B11" s="17" t="s">
        <v>93</v>
      </c>
      <c r="C11" s="17">
        <f>C10+(D21*B2)+(D21*B2*2)</f>
        <v>11671.5</v>
      </c>
      <c r="D11" s="17"/>
    </row>
    <row r="12" spans="1:4" x14ac:dyDescent="0.3">
      <c r="A12" s="31" t="s">
        <v>94</v>
      </c>
      <c r="B12" s="13" t="s">
        <v>84</v>
      </c>
      <c r="C12" s="15">
        <f>2*(B3+B4)</f>
        <v>1800</v>
      </c>
      <c r="D12" s="35">
        <f>C12*C13*C14*8/1000/1000</f>
        <v>3.456</v>
      </c>
    </row>
    <row r="13" spans="1:4" x14ac:dyDescent="0.3">
      <c r="A13" s="31"/>
      <c r="B13" s="13" t="s">
        <v>85</v>
      </c>
      <c r="C13" s="15">
        <f>B5</f>
        <v>200</v>
      </c>
      <c r="D13" s="35"/>
    </row>
    <row r="14" spans="1:4" x14ac:dyDescent="0.3">
      <c r="A14" s="31"/>
      <c r="B14" s="13" t="s">
        <v>95</v>
      </c>
      <c r="C14" s="15">
        <f>B6</f>
        <v>1.2</v>
      </c>
      <c r="D14" s="35"/>
    </row>
    <row r="15" spans="1:4" x14ac:dyDescent="0.3">
      <c r="A15" s="31" t="s">
        <v>96</v>
      </c>
      <c r="B15" s="13" t="s">
        <v>84</v>
      </c>
      <c r="C15" s="15">
        <f>B3</f>
        <v>400</v>
      </c>
      <c r="D15" s="35">
        <f>C15*C16*C17*8/1000/1000</f>
        <v>1.92</v>
      </c>
    </row>
    <row r="16" spans="1:4" x14ac:dyDescent="0.3">
      <c r="A16" s="31"/>
      <c r="B16" s="13" t="s">
        <v>85</v>
      </c>
      <c r="C16" s="15">
        <f>B4</f>
        <v>500</v>
      </c>
      <c r="D16" s="35"/>
    </row>
    <row r="17" spans="1:4" x14ac:dyDescent="0.3">
      <c r="A17" s="31"/>
      <c r="B17" s="13" t="s">
        <v>95</v>
      </c>
      <c r="C17" s="15">
        <f>B6</f>
        <v>1.2</v>
      </c>
      <c r="D17" s="35"/>
    </row>
    <row r="18" spans="1:4" x14ac:dyDescent="0.3">
      <c r="A18" s="31" t="s">
        <v>97</v>
      </c>
      <c r="B18" s="13" t="s">
        <v>84</v>
      </c>
      <c r="C18" s="15">
        <f>C12</f>
        <v>1800</v>
      </c>
      <c r="D18" s="35">
        <f>C18*C19*C20*8/1000/1000</f>
        <v>0.86399999999999999</v>
      </c>
    </row>
    <row r="19" spans="1:4" x14ac:dyDescent="0.3">
      <c r="A19" s="31"/>
      <c r="B19" s="13" t="s">
        <v>85</v>
      </c>
      <c r="C19" s="15">
        <v>50</v>
      </c>
      <c r="D19" s="35"/>
    </row>
    <row r="20" spans="1:4" x14ac:dyDescent="0.3">
      <c r="A20" s="31"/>
      <c r="B20" s="13" t="s">
        <v>95</v>
      </c>
      <c r="C20" s="15">
        <f>C17</f>
        <v>1.2</v>
      </c>
      <c r="D20" s="35"/>
    </row>
    <row r="21" spans="1:4" x14ac:dyDescent="0.3">
      <c r="A21" s="31" t="s">
        <v>98</v>
      </c>
      <c r="B21" s="13" t="s">
        <v>84</v>
      </c>
      <c r="C21" s="15">
        <f>B3+50</f>
        <v>450</v>
      </c>
      <c r="D21" s="35">
        <f>C21*C22*C23*8/1000/1000</f>
        <v>3.96</v>
      </c>
    </row>
    <row r="22" spans="1:4" x14ac:dyDescent="0.3">
      <c r="A22" s="31"/>
      <c r="B22" s="13" t="s">
        <v>85</v>
      </c>
      <c r="C22" s="15">
        <f>B4+50</f>
        <v>550</v>
      </c>
      <c r="D22" s="35"/>
    </row>
    <row r="23" spans="1:4" x14ac:dyDescent="0.3">
      <c r="A23" s="31"/>
      <c r="B23" s="13" t="s">
        <v>95</v>
      </c>
      <c r="C23" s="15">
        <f>B7</f>
        <v>2</v>
      </c>
      <c r="D23" s="35"/>
    </row>
    <row r="24" spans="1:4" x14ac:dyDescent="0.3">
      <c r="A24" s="31" t="s">
        <v>99</v>
      </c>
      <c r="B24" s="13" t="s">
        <v>84</v>
      </c>
      <c r="C24" s="15">
        <f>B3-50</f>
        <v>350</v>
      </c>
      <c r="D24" s="35">
        <f>C24*C25*C26*8/1000/1000</f>
        <v>2.52</v>
      </c>
    </row>
    <row r="25" spans="1:4" x14ac:dyDescent="0.3">
      <c r="A25" s="31"/>
      <c r="B25" s="13" t="s">
        <v>85</v>
      </c>
      <c r="C25" s="15">
        <f>B4-50</f>
        <v>450</v>
      </c>
      <c r="D25" s="35"/>
    </row>
    <row r="26" spans="1:4" x14ac:dyDescent="0.3">
      <c r="A26" s="31"/>
      <c r="B26" s="13" t="s">
        <v>95</v>
      </c>
      <c r="C26" s="15">
        <f>B8</f>
        <v>2</v>
      </c>
      <c r="D26" s="35"/>
    </row>
    <row r="27" spans="1:4" x14ac:dyDescent="0.3">
      <c r="A27" s="40" t="s">
        <v>100</v>
      </c>
      <c r="B27" s="13" t="s">
        <v>84</v>
      </c>
      <c r="C27" s="15">
        <f>B4-100</f>
        <v>400</v>
      </c>
      <c r="D27" s="35">
        <f>C27*C28*C29*8/1000/1000</f>
        <v>1.6</v>
      </c>
    </row>
    <row r="28" spans="1:4" x14ac:dyDescent="0.3">
      <c r="A28" s="40"/>
      <c r="B28" s="13" t="s">
        <v>85</v>
      </c>
      <c r="C28" s="15">
        <f>B5-75</f>
        <v>125</v>
      </c>
      <c r="D28" s="35"/>
    </row>
    <row r="29" spans="1:4" x14ac:dyDescent="0.3">
      <c r="A29" s="40"/>
      <c r="B29" s="13" t="s">
        <v>95</v>
      </c>
      <c r="C29" s="15">
        <f>B9</f>
        <v>4</v>
      </c>
      <c r="D29" s="35"/>
    </row>
    <row r="30" spans="1:4" x14ac:dyDescent="0.3">
      <c r="A30" s="31" t="s">
        <v>101</v>
      </c>
      <c r="B30" s="13" t="s">
        <v>84</v>
      </c>
      <c r="C30" s="15">
        <f>B3</f>
        <v>400</v>
      </c>
      <c r="D30" s="35">
        <f>((C30+C31)/1000)*2*C32</f>
        <v>11.700000000000001</v>
      </c>
    </row>
    <row r="31" spans="1:4" x14ac:dyDescent="0.3">
      <c r="A31" s="31"/>
      <c r="B31" s="13" t="s">
        <v>85</v>
      </c>
      <c r="C31" s="15">
        <f>B4</f>
        <v>500</v>
      </c>
      <c r="D31" s="35"/>
    </row>
    <row r="32" spans="1:4" x14ac:dyDescent="0.3">
      <c r="A32" s="31"/>
      <c r="B32" s="13" t="s">
        <v>95</v>
      </c>
      <c r="C32" s="15">
        <v>6.5</v>
      </c>
      <c r="D32" s="35"/>
    </row>
    <row r="33" spans="1:4" x14ac:dyDescent="0.3">
      <c r="A33" s="36" t="s">
        <v>102</v>
      </c>
      <c r="B33" s="37"/>
      <c r="C33" s="39">
        <f>SUM(D12:D32)</f>
        <v>26.02</v>
      </c>
      <c r="D33" s="39"/>
    </row>
    <row r="34" spans="1:4" x14ac:dyDescent="0.3">
      <c r="A34" s="19" t="s">
        <v>103</v>
      </c>
      <c r="B34" s="20">
        <v>75</v>
      </c>
      <c r="C34" s="21">
        <f>2*(B4+B5)/1000</f>
        <v>1.4</v>
      </c>
      <c r="D34" s="21">
        <f>C34*8.5*B34</f>
        <v>892.49999999999989</v>
      </c>
    </row>
    <row r="35" spans="1:4" x14ac:dyDescent="0.3">
      <c r="A35" s="36" t="s">
        <v>104</v>
      </c>
      <c r="B35" s="37"/>
      <c r="C35" s="38">
        <f>(C33*B2)+D34</f>
        <v>3494.5</v>
      </c>
      <c r="D35" s="38"/>
    </row>
    <row r="36" spans="1:4" x14ac:dyDescent="0.3">
      <c r="A36" s="13" t="s">
        <v>105</v>
      </c>
      <c r="B36" s="15">
        <v>2</v>
      </c>
      <c r="C36" s="38">
        <f>C35*B36</f>
        <v>6989</v>
      </c>
      <c r="D36" s="38"/>
    </row>
    <row r="37" spans="1:4" x14ac:dyDescent="0.3">
      <c r="A37" s="36" t="s">
        <v>91</v>
      </c>
      <c r="B37" s="37"/>
      <c r="C37" s="38">
        <f>C35+C36</f>
        <v>10483.5</v>
      </c>
      <c r="D37" s="38"/>
    </row>
  </sheetData>
  <mergeCells count="31">
    <mergeCell ref="A1:D1"/>
    <mergeCell ref="B2:D2"/>
    <mergeCell ref="A18:A20"/>
    <mergeCell ref="D18:D20"/>
    <mergeCell ref="A10:A11"/>
    <mergeCell ref="B8:D8"/>
    <mergeCell ref="B9:D9"/>
    <mergeCell ref="D15:D17"/>
    <mergeCell ref="A12:A14"/>
    <mergeCell ref="D12:D14"/>
    <mergeCell ref="B3:D3"/>
    <mergeCell ref="B4:D4"/>
    <mergeCell ref="B5:D5"/>
    <mergeCell ref="B6:D6"/>
    <mergeCell ref="B7:D7"/>
    <mergeCell ref="A24:A26"/>
    <mergeCell ref="D21:D23"/>
    <mergeCell ref="A15:A17"/>
    <mergeCell ref="A27:A29"/>
    <mergeCell ref="D27:D29"/>
    <mergeCell ref="D24:D26"/>
    <mergeCell ref="A21:A23"/>
    <mergeCell ref="A30:A32"/>
    <mergeCell ref="D30:D32"/>
    <mergeCell ref="A37:B37"/>
    <mergeCell ref="C37:D37"/>
    <mergeCell ref="A33:B33"/>
    <mergeCell ref="C33:D33"/>
    <mergeCell ref="A35:B35"/>
    <mergeCell ref="C35:D35"/>
    <mergeCell ref="C36:D3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4232-A37E-49E1-AB2A-9123AAD4838E}">
  <sheetPr codeName="Sheet4"/>
  <dimension ref="A1:I23"/>
  <sheetViews>
    <sheetView zoomScale="99" zoomScaleNormal="85" workbookViewId="0">
      <selection activeCell="B9" sqref="B9:E9"/>
    </sheetView>
  </sheetViews>
  <sheetFormatPr defaultRowHeight="14.4" x14ac:dyDescent="0.3"/>
  <cols>
    <col min="1" max="1" width="5.21875" bestFit="1" customWidth="1"/>
    <col min="2" max="2" width="25.88671875" bestFit="1" customWidth="1"/>
    <col min="3" max="5" width="4.109375" bestFit="1" customWidth="1"/>
    <col min="6" max="6" width="4.33203125" bestFit="1" customWidth="1"/>
    <col min="7" max="7" width="11.5546875" bestFit="1" customWidth="1"/>
    <col min="8" max="8" width="10.5546875" bestFit="1" customWidth="1"/>
    <col min="9" max="9" width="11.6640625" bestFit="1" customWidth="1"/>
  </cols>
  <sheetData>
    <row r="1" spans="1:9" ht="29.4" customHeight="1" x14ac:dyDescent="0.3">
      <c r="A1" s="54" t="s">
        <v>114</v>
      </c>
      <c r="B1" s="55"/>
      <c r="C1" s="55"/>
      <c r="D1" s="55"/>
      <c r="E1" s="55"/>
      <c r="F1" s="55"/>
      <c r="G1" s="56"/>
      <c r="H1" s="7" t="s">
        <v>76</v>
      </c>
      <c r="I1" s="8" t="str" cm="1">
        <f t="array" ref="I1">INDEX(MaterialList1!A2:A11,MaterialList1!A12)</f>
        <v>0.75kW</v>
      </c>
    </row>
    <row r="2" spans="1:9" x14ac:dyDescent="0.3">
      <c r="A2" s="2" t="s">
        <v>56</v>
      </c>
      <c r="B2" s="2" t="s">
        <v>57</v>
      </c>
      <c r="C2" s="54" t="s">
        <v>58</v>
      </c>
      <c r="D2" s="55"/>
      <c r="E2" s="56"/>
      <c r="F2" s="2" t="s">
        <v>10</v>
      </c>
      <c r="G2" s="2" t="s">
        <v>54</v>
      </c>
      <c r="H2" s="2" t="s">
        <v>59</v>
      </c>
      <c r="I2" s="2" t="s">
        <v>60</v>
      </c>
    </row>
    <row r="3" spans="1:9" x14ac:dyDescent="0.3">
      <c r="A3" s="10"/>
      <c r="B3" s="12"/>
      <c r="C3" s="2" t="s">
        <v>84</v>
      </c>
      <c r="D3" s="2" t="s">
        <v>85</v>
      </c>
      <c r="E3" s="2" t="s">
        <v>107</v>
      </c>
      <c r="F3" s="10"/>
      <c r="G3" s="11"/>
      <c r="H3" s="11"/>
      <c r="I3" s="12"/>
    </row>
    <row r="4" spans="1:9" x14ac:dyDescent="0.3">
      <c r="A4" s="3">
        <v>1</v>
      </c>
      <c r="B4" s="4" t="s">
        <v>14</v>
      </c>
      <c r="C4" s="4" cm="1">
        <f t="array" ref="C4">INDEX(MaterialList1!A16:A25,MaterialList1!A12)</f>
        <v>400</v>
      </c>
      <c r="D4" s="4" cm="1">
        <f t="array" ref="D4">INDEX(MaterialList1!B16:B25,MaterialList1!A12)</f>
        <v>500</v>
      </c>
      <c r="E4" s="3" cm="1">
        <f t="array" ref="E4">INDEX(MaterialList1!C16:C25,MaterialList1!A12)</f>
        <v>200</v>
      </c>
      <c r="F4" s="3">
        <v>1</v>
      </c>
      <c r="G4" s="9">
        <f>BoxCalculation!C37</f>
        <v>10483.5</v>
      </c>
      <c r="H4" s="5">
        <v>0</v>
      </c>
      <c r="I4" s="6">
        <f>(F4*G4)-(F4*G4*H4)</f>
        <v>10483.5</v>
      </c>
    </row>
    <row r="5" spans="1:9" x14ac:dyDescent="0.3">
      <c r="A5" s="3">
        <v>2</v>
      </c>
      <c r="B5" s="4" t="s">
        <v>61</v>
      </c>
      <c r="C5" s="50" t="str" cm="1">
        <f t="array" ref="C5">INDEX(MaterialList1!F2:F11,MaterialList1!A12)</f>
        <v>10A</v>
      </c>
      <c r="D5" s="51"/>
      <c r="E5" s="52"/>
      <c r="F5" s="3">
        <v>1</v>
      </c>
      <c r="G5" s="9" cm="1">
        <f t="array" ref="G5">INDEX(MaterialList1!G2:G11,MaterialList1!A12)</f>
        <v>2482</v>
      </c>
      <c r="H5" s="5">
        <v>0.45</v>
      </c>
      <c r="I5" s="6">
        <f>(F5*G5)-(F5*G5*H5)</f>
        <v>1365.1</v>
      </c>
    </row>
    <row r="6" spans="1:9" x14ac:dyDescent="0.3">
      <c r="A6" s="3">
        <v>3</v>
      </c>
      <c r="B6" s="4" t="s">
        <v>62</v>
      </c>
      <c r="C6" s="50" t="str" cm="1">
        <f t="array" ref="C6">INDEX(MaterialList1!B2:B11,MaterialList1!A12)</f>
        <v>9A</v>
      </c>
      <c r="D6" s="51"/>
      <c r="E6" s="52"/>
      <c r="F6" s="3" cm="1">
        <f t="array" ref="F6">INDEX(MaterialList2!B10:B14,MaterialList2!D12)</f>
        <v>3</v>
      </c>
      <c r="G6" s="9" cm="1">
        <f t="array" ref="G6">INDEX(MaterialList1!C2:C11,MaterialList1!A12)</f>
        <v>1170</v>
      </c>
      <c r="H6" s="5">
        <v>0.45</v>
      </c>
      <c r="I6" s="6">
        <f t="shared" ref="I6:I22" si="0">(F6*G6)-(F6*G6*H6)</f>
        <v>1930.5</v>
      </c>
    </row>
    <row r="7" spans="1:9" x14ac:dyDescent="0.3">
      <c r="A7" s="3">
        <v>4</v>
      </c>
      <c r="B7" s="4" t="s">
        <v>13</v>
      </c>
      <c r="C7" s="50" t="str" cm="1">
        <f t="array" ref="C7">INDEX(MaterialList1!D2:D11,MaterialList1!A12)</f>
        <v>1-1.6A</v>
      </c>
      <c r="D7" s="51"/>
      <c r="E7" s="52"/>
      <c r="F7" s="3">
        <f>F6</f>
        <v>3</v>
      </c>
      <c r="G7" s="9" cm="1">
        <f t="array" ref="G7">INDEX(MaterialList1!E2:E11,MaterialList1!A12)</f>
        <v>1850</v>
      </c>
      <c r="H7" s="5">
        <v>0.45</v>
      </c>
      <c r="I7" s="6">
        <f t="shared" si="0"/>
        <v>3052.5</v>
      </c>
    </row>
    <row r="8" spans="1:9" x14ac:dyDescent="0.3">
      <c r="A8" s="3">
        <v>5</v>
      </c>
      <c r="B8" s="4" t="s">
        <v>63</v>
      </c>
      <c r="C8" s="50"/>
      <c r="D8" s="51"/>
      <c r="E8" s="52"/>
      <c r="F8" s="3">
        <v>1</v>
      </c>
      <c r="G8" s="9" cm="1">
        <f t="array" ref="G8">INDEX(MaterialList1!K2:K11,MaterialList1!A12)</f>
        <v>2000</v>
      </c>
      <c r="H8" s="5">
        <v>0</v>
      </c>
      <c r="I8" s="6">
        <f t="shared" si="0"/>
        <v>2000</v>
      </c>
    </row>
    <row r="9" spans="1:9" x14ac:dyDescent="0.3">
      <c r="A9" s="3">
        <v>6</v>
      </c>
      <c r="B9" s="4" t="s">
        <v>64</v>
      </c>
      <c r="C9" s="50"/>
      <c r="D9" s="51"/>
      <c r="E9" s="52"/>
      <c r="F9" s="3">
        <v>1</v>
      </c>
      <c r="G9" s="9" cm="1">
        <f t="array" ref="G9">INDEX(MaterialList1!J2:J11,MaterialList1!A12)</f>
        <v>4000</v>
      </c>
      <c r="H9" s="5">
        <v>0</v>
      </c>
      <c r="I9" s="6">
        <f t="shared" si="0"/>
        <v>4000</v>
      </c>
    </row>
    <row r="10" spans="1:9" x14ac:dyDescent="0.3">
      <c r="A10" s="3">
        <v>7</v>
      </c>
      <c r="B10" s="4" t="s">
        <v>112</v>
      </c>
      <c r="C10" s="50" t="s">
        <v>113</v>
      </c>
      <c r="D10" s="51"/>
      <c r="E10" s="52"/>
      <c r="F10" s="3">
        <f>MaterialList2!E16</f>
        <v>2</v>
      </c>
      <c r="G10" s="9" cm="1">
        <f t="array" ref="G10">INDEX(MaterialList2!C15:C17,MaterialList2!D16)</f>
        <v>1850</v>
      </c>
      <c r="H10" s="5">
        <v>0</v>
      </c>
      <c r="I10" s="6">
        <f t="shared" ref="I10" si="1">(F10*G10)-(F10*G10*H10)</f>
        <v>3700</v>
      </c>
    </row>
    <row r="11" spans="1:9" x14ac:dyDescent="0.3">
      <c r="A11" s="3">
        <v>8</v>
      </c>
      <c r="B11" s="4" t="s">
        <v>65</v>
      </c>
      <c r="C11" s="50" t="str" cm="1">
        <f t="array" ref="C11">INDEX(MaterialList1!L2:L11,MaterialList1!A12)</f>
        <v>4SQMM</v>
      </c>
      <c r="D11" s="51"/>
      <c r="E11" s="52"/>
      <c r="F11" s="3">
        <v>10</v>
      </c>
      <c r="G11" s="9" cm="1">
        <f t="array" ref="G11">INDEX(MaterialList1!M2:M11,MaterialList1!A12)</f>
        <v>11.4</v>
      </c>
      <c r="H11" s="5">
        <v>0</v>
      </c>
      <c r="I11" s="6">
        <f t="shared" si="0"/>
        <v>114</v>
      </c>
    </row>
    <row r="12" spans="1:9" x14ac:dyDescent="0.3">
      <c r="A12" s="3">
        <v>9</v>
      </c>
      <c r="B12" s="4" t="s">
        <v>66</v>
      </c>
      <c r="C12" s="50" t="s">
        <v>81</v>
      </c>
      <c r="D12" s="51"/>
      <c r="E12" s="52"/>
      <c r="F12" s="3">
        <v>1</v>
      </c>
      <c r="G12" s="9">
        <v>153</v>
      </c>
      <c r="H12" s="5">
        <v>0</v>
      </c>
      <c r="I12" s="6">
        <f t="shared" si="0"/>
        <v>153</v>
      </c>
    </row>
    <row r="13" spans="1:9" x14ac:dyDescent="0.3">
      <c r="A13" s="3">
        <v>10</v>
      </c>
      <c r="B13" s="4" t="s">
        <v>67</v>
      </c>
      <c r="C13" s="50" t="s">
        <v>81</v>
      </c>
      <c r="D13" s="51"/>
      <c r="E13" s="52"/>
      <c r="F13" s="3">
        <v>1</v>
      </c>
      <c r="G13" s="9">
        <f>G12</f>
        <v>153</v>
      </c>
      <c r="H13" s="5">
        <v>0</v>
      </c>
      <c r="I13" s="6">
        <f t="shared" si="0"/>
        <v>153</v>
      </c>
    </row>
    <row r="14" spans="1:9" x14ac:dyDescent="0.3">
      <c r="A14" s="3">
        <v>11</v>
      </c>
      <c r="B14" s="4" t="s">
        <v>68</v>
      </c>
      <c r="C14" s="50"/>
      <c r="D14" s="51"/>
      <c r="E14" s="52"/>
      <c r="F14" s="3" cm="1">
        <f t="array" ref="F14">INDEX(MaterialList2!E7:E9,MaterialList2!D8)</f>
        <v>0</v>
      </c>
      <c r="G14" s="9">
        <f>MaterialList1!P3</f>
        <v>0</v>
      </c>
      <c r="H14" s="5">
        <v>0</v>
      </c>
      <c r="I14" s="6">
        <f t="shared" si="0"/>
        <v>0</v>
      </c>
    </row>
    <row r="15" spans="1:9" x14ac:dyDescent="0.3">
      <c r="A15" s="3">
        <v>12</v>
      </c>
      <c r="B15" s="4" t="s">
        <v>69</v>
      </c>
      <c r="C15" s="50" t="s">
        <v>81</v>
      </c>
      <c r="D15" s="51"/>
      <c r="E15" s="52"/>
      <c r="F15" s="3">
        <v>1</v>
      </c>
      <c r="G15" s="9">
        <v>387</v>
      </c>
      <c r="H15" s="5">
        <v>0</v>
      </c>
      <c r="I15" s="6">
        <f t="shared" si="0"/>
        <v>387</v>
      </c>
    </row>
    <row r="16" spans="1:9" x14ac:dyDescent="0.3">
      <c r="A16" s="3">
        <v>13</v>
      </c>
      <c r="B16" s="4" t="s">
        <v>70</v>
      </c>
      <c r="C16" s="50" t="s">
        <v>81</v>
      </c>
      <c r="D16" s="51"/>
      <c r="E16" s="52"/>
      <c r="F16" s="3">
        <v>1</v>
      </c>
      <c r="G16" s="9">
        <f>G15</f>
        <v>387</v>
      </c>
      <c r="H16" s="5">
        <v>0</v>
      </c>
      <c r="I16" s="6">
        <f t="shared" si="0"/>
        <v>387</v>
      </c>
    </row>
    <row r="17" spans="1:9" x14ac:dyDescent="0.3">
      <c r="A17" s="3">
        <v>14</v>
      </c>
      <c r="B17" s="4" t="s">
        <v>71</v>
      </c>
      <c r="C17" s="50"/>
      <c r="D17" s="51"/>
      <c r="E17" s="52"/>
      <c r="F17" s="3">
        <v>2</v>
      </c>
      <c r="G17" s="9">
        <v>160</v>
      </c>
      <c r="H17" s="5">
        <v>0</v>
      </c>
      <c r="I17" s="6">
        <f t="shared" si="0"/>
        <v>320</v>
      </c>
    </row>
    <row r="18" spans="1:9" x14ac:dyDescent="0.3">
      <c r="A18" s="3">
        <v>15</v>
      </c>
      <c r="B18" s="4" t="s">
        <v>72</v>
      </c>
      <c r="C18" s="50"/>
      <c r="D18" s="51"/>
      <c r="E18" s="52"/>
      <c r="F18" s="3">
        <v>1</v>
      </c>
      <c r="G18" s="9">
        <v>300</v>
      </c>
      <c r="H18" s="5">
        <v>0</v>
      </c>
      <c r="I18" s="6">
        <f t="shared" si="0"/>
        <v>300</v>
      </c>
    </row>
    <row r="19" spans="1:9" x14ac:dyDescent="0.3">
      <c r="A19" s="3">
        <v>16</v>
      </c>
      <c r="B19" s="4" t="s">
        <v>73</v>
      </c>
      <c r="C19" s="50"/>
      <c r="D19" s="51"/>
      <c r="E19" s="52"/>
      <c r="F19" s="3">
        <v>1</v>
      </c>
      <c r="G19" s="9">
        <v>160</v>
      </c>
      <c r="H19" s="5">
        <v>0</v>
      </c>
      <c r="I19" s="6">
        <f t="shared" si="0"/>
        <v>160</v>
      </c>
    </row>
    <row r="20" spans="1:9" x14ac:dyDescent="0.3">
      <c r="A20" s="3">
        <v>17</v>
      </c>
      <c r="B20" s="4" t="s">
        <v>74</v>
      </c>
      <c r="C20" s="50"/>
      <c r="D20" s="51"/>
      <c r="E20" s="52"/>
      <c r="F20" s="3">
        <v>4</v>
      </c>
      <c r="G20" s="9">
        <v>9</v>
      </c>
      <c r="H20" s="5">
        <v>0</v>
      </c>
      <c r="I20" s="6">
        <f t="shared" si="0"/>
        <v>36</v>
      </c>
    </row>
    <row r="21" spans="1:9" x14ac:dyDescent="0.3">
      <c r="A21" s="3">
        <v>18</v>
      </c>
      <c r="B21" s="4" t="s">
        <v>77</v>
      </c>
      <c r="C21" s="50" t="s">
        <v>78</v>
      </c>
      <c r="D21" s="51"/>
      <c r="E21" s="52"/>
      <c r="F21" s="3" cm="1">
        <f t="array" ref="F21">INDEX(MaterialList2!E1:E3,MaterialList2!D2)</f>
        <v>1</v>
      </c>
      <c r="G21" s="9">
        <f>MaterialList1!N3</f>
        <v>765</v>
      </c>
      <c r="H21" s="5">
        <v>0</v>
      </c>
      <c r="I21" s="6">
        <f t="shared" si="0"/>
        <v>765</v>
      </c>
    </row>
    <row r="22" spans="1:9" x14ac:dyDescent="0.3">
      <c r="A22" s="3">
        <v>19</v>
      </c>
      <c r="B22" s="4" t="s">
        <v>79</v>
      </c>
      <c r="C22" s="50"/>
      <c r="D22" s="51"/>
      <c r="E22" s="52"/>
      <c r="F22" s="3" cm="1">
        <f t="array" ref="F22">INDEX(MaterialList2!E4:E6,MaterialList2!D5)</f>
        <v>1</v>
      </c>
      <c r="G22" s="9">
        <f>MaterialList1!O3</f>
        <v>1850</v>
      </c>
      <c r="H22" s="5">
        <v>0</v>
      </c>
      <c r="I22" s="6">
        <f t="shared" si="0"/>
        <v>1850</v>
      </c>
    </row>
    <row r="23" spans="1:9" x14ac:dyDescent="0.3">
      <c r="A23" s="53" t="s">
        <v>75</v>
      </c>
      <c r="B23" s="53"/>
      <c r="C23" s="53"/>
      <c r="D23" s="53"/>
      <c r="E23" s="53"/>
      <c r="F23" s="53"/>
      <c r="G23" s="53"/>
      <c r="H23" s="53"/>
      <c r="I23" s="6">
        <f>SUM(I4:I22)</f>
        <v>31156.6</v>
      </c>
    </row>
  </sheetData>
  <protectedRanges>
    <protectedRange algorithmName="SHA-512" hashValue="jQJ5OIZPR+y0+Nfhi7jsrkAdxxW5f2Vqk/nEa/UMlSYnG0e79+FS3BHiYJ1QC2VR4YBHNUUIFn62NBFZUB8jXg==" saltValue="l4PTgyLRSnabGVwq+J9vFw==" spinCount="100000" sqref="F11:F22" name="QTY_1"/>
  </protectedRanges>
  <mergeCells count="21">
    <mergeCell ref="C14:E14"/>
    <mergeCell ref="C15:E15"/>
    <mergeCell ref="C16:E16"/>
    <mergeCell ref="C17:E17"/>
    <mergeCell ref="C18:E18"/>
    <mergeCell ref="C8:E8"/>
    <mergeCell ref="C9:E9"/>
    <mergeCell ref="C11:E11"/>
    <mergeCell ref="C12:E12"/>
    <mergeCell ref="C13:E13"/>
    <mergeCell ref="C10:E10"/>
    <mergeCell ref="A1:G1"/>
    <mergeCell ref="C2:E2"/>
    <mergeCell ref="C5:E5"/>
    <mergeCell ref="C6:E6"/>
    <mergeCell ref="C7:E7"/>
    <mergeCell ref="C19:E19"/>
    <mergeCell ref="C20:E20"/>
    <mergeCell ref="C21:E21"/>
    <mergeCell ref="C22:E22"/>
    <mergeCell ref="A23:H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2">
              <controlPr defaultSize="0" print="0" autoFill="0" autoPict="0" macro="[0]!PrintSheet">
                <anchor moveWithCells="1">
                  <from>
                    <xdr:col>9</xdr:col>
                    <xdr:colOff>45720</xdr:colOff>
                    <xdr:row>0</xdr:row>
                    <xdr:rowOff>83820</xdr:rowOff>
                  </from>
                  <to>
                    <xdr:col>9</xdr:col>
                    <xdr:colOff>563880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oBack">
                <anchor moveWithCells="1">
                  <from>
                    <xdr:col>9</xdr:col>
                    <xdr:colOff>45720</xdr:colOff>
                    <xdr:row>0</xdr:row>
                    <xdr:rowOff>365760</xdr:rowOff>
                  </from>
                  <to>
                    <xdr:col>9</xdr:col>
                    <xdr:colOff>563880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Configuration</vt:lpstr>
      <vt:lpstr>MaterialList1</vt:lpstr>
      <vt:lpstr>MaterialList2</vt:lpstr>
      <vt:lpstr>BoxCalculation</vt:lpstr>
      <vt:lpstr>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Koushikraj S</dc:creator>
  <cp:lastModifiedBy>Koushikraj S</cp:lastModifiedBy>
  <cp:lastPrinted>2023-09-02T03:52:13Z</cp:lastPrinted>
  <dcterms:created xsi:type="dcterms:W3CDTF">2023-08-29T13:51:53Z</dcterms:created>
  <dcterms:modified xsi:type="dcterms:W3CDTF">2023-09-02T03:55:58Z</dcterms:modified>
</cp:coreProperties>
</file>